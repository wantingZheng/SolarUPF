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丁玉军\Desktop\pv_power_predict_result\最后需要对比的多算法对比之后可能有用的\任务对比\"/>
    </mc:Choice>
  </mc:AlternateContent>
  <xr:revisionPtr revIDLastSave="0" documentId="13_ncr:1_{48BB4A9C-D33A-4A69-B46A-CDEC1AFFEF6B}" xr6:coauthVersionLast="47" xr6:coauthVersionMax="47" xr10:uidLastSave="{00000000-0000-0000-0000-000000000000}"/>
  <bookViews>
    <workbookView xWindow="1365" yWindow="1080" windowWidth="22935" windowHeight="1440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C29" i="1" l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B29" i="1"/>
</calcChain>
</file>

<file path=xl/sharedStrings.xml><?xml version="1.0" encoding="utf-8"?>
<sst xmlns="http://schemas.openxmlformats.org/spreadsheetml/2006/main" count="76" uniqueCount="40">
  <si>
    <t>Metric</t>
  </si>
  <si>
    <t>MAE</t>
  </si>
  <si>
    <t>NRMSE</t>
  </si>
  <si>
    <t>R2</t>
  </si>
  <si>
    <t>MAPE</t>
  </si>
  <si>
    <t>RMSE</t>
  </si>
  <si>
    <t>PICP</t>
  </si>
  <si>
    <t>PINAW</t>
  </si>
  <si>
    <t>CWC</t>
  </si>
  <si>
    <t>QL</t>
  </si>
  <si>
    <t>IS</t>
  </si>
  <si>
    <t>Method</t>
  </si>
  <si>
    <t>TransformerTIME</t>
  </si>
  <si>
    <t>LSTMTIME</t>
  </si>
  <si>
    <t>LSTM</t>
  </si>
  <si>
    <t>MLP</t>
  </si>
  <si>
    <t>PV_JS_01</t>
  </si>
  <si>
    <t>PV_JS_02</t>
  </si>
  <si>
    <t>PV_JS_03</t>
  </si>
  <si>
    <t>PV_JS_04</t>
  </si>
  <si>
    <t>PV_JS_05</t>
  </si>
  <si>
    <t>PV_JS_06</t>
  </si>
  <si>
    <t>PV_JS_07</t>
  </si>
  <si>
    <t>PV_JS_08</t>
  </si>
  <si>
    <t>PV_JS_09</t>
  </si>
  <si>
    <t>PV_NG_01</t>
  </si>
  <si>
    <t>PV_NG_02</t>
  </si>
  <si>
    <t>PV_NG_03</t>
  </si>
  <si>
    <t>PV_NG_04</t>
  </si>
  <si>
    <t>PV_AU_01</t>
  </si>
  <si>
    <t>PV_AU_02</t>
  </si>
  <si>
    <t>PV_AU_03</t>
  </si>
  <si>
    <t>PV_AU_04</t>
  </si>
  <si>
    <t>PV_AU_05</t>
  </si>
  <si>
    <t>PV_AU_06</t>
  </si>
  <si>
    <t>PV_AU_07</t>
  </si>
  <si>
    <t>PV_AU_08</t>
  </si>
  <si>
    <t>PV_GED_01</t>
  </si>
  <si>
    <t>PV_GED_02</t>
  </si>
  <si>
    <t>PV_GED_03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</si>
</sst>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9"/>
  <sheetViews>
    <sheetView tabSelected="1" workbookViewId="0">
      <selection activeCell="F34" sqref="F34"/>
    </sheetView>
  </sheetViews>
  <sheetFormatPr defaultRowHeight="13.5" x14ac:dyDescent="0.15"/>
  <cols>
    <col min="2" max="5" width="10.5" bestFit="1" customWidth="1"/>
    <col min="6" max="13" width="9.125" bestFit="1" customWidth="1"/>
    <col min="14" max="17" width="16.125" bestFit="1" customWidth="1"/>
    <col min="18" max="21" width="11.625" bestFit="1" customWidth="1"/>
    <col min="22" max="33" width="9.125" bestFit="1" customWidth="1"/>
    <col min="34" max="37" width="11.625" bestFit="1" customWidth="1"/>
    <col min="38" max="41" width="10.5" bestFit="1" customWidth="1"/>
  </cols>
  <sheetData>
    <row r="1" spans="1:41" x14ac:dyDescent="0.1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2"/>
      <c r="I1" s="2"/>
      <c r="J1" s="2" t="s">
        <v>3</v>
      </c>
      <c r="K1" s="2"/>
      <c r="L1" s="2"/>
      <c r="M1" s="2"/>
      <c r="N1" s="2" t="s">
        <v>4</v>
      </c>
      <c r="O1" s="2"/>
      <c r="P1" s="2"/>
      <c r="Q1" s="2"/>
      <c r="R1" s="2" t="s">
        <v>5</v>
      </c>
      <c r="S1" s="2"/>
      <c r="T1" s="2"/>
      <c r="U1" s="2"/>
      <c r="V1" s="2" t="s">
        <v>6</v>
      </c>
      <c r="W1" s="2"/>
      <c r="X1" s="2"/>
      <c r="Y1" s="2"/>
      <c r="Z1" s="2" t="s">
        <v>7</v>
      </c>
      <c r="AA1" s="2"/>
      <c r="AB1" s="2"/>
      <c r="AC1" s="2"/>
      <c r="AD1" s="2" t="s">
        <v>8</v>
      </c>
      <c r="AE1" s="2"/>
      <c r="AF1" s="2"/>
      <c r="AG1" s="2"/>
      <c r="AH1" s="2" t="s">
        <v>9</v>
      </c>
      <c r="AI1" s="2"/>
      <c r="AJ1" s="2"/>
      <c r="AK1" s="2"/>
      <c r="AL1" s="2" t="s">
        <v>10</v>
      </c>
      <c r="AM1" s="2"/>
      <c r="AN1" s="2"/>
      <c r="AO1" s="2"/>
    </row>
    <row r="2" spans="1:41" x14ac:dyDescent="0.1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12</v>
      </c>
      <c r="G2" s="1" t="s">
        <v>13</v>
      </c>
      <c r="H2" s="1" t="s">
        <v>14</v>
      </c>
      <c r="I2" s="1" t="s">
        <v>15</v>
      </c>
      <c r="J2" s="1" t="s">
        <v>12</v>
      </c>
      <c r="K2" s="1" t="s">
        <v>13</v>
      </c>
      <c r="L2" s="1" t="s">
        <v>14</v>
      </c>
      <c r="M2" s="1" t="s">
        <v>15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12</v>
      </c>
      <c r="S2" s="1" t="s">
        <v>13</v>
      </c>
      <c r="T2" s="1" t="s">
        <v>14</v>
      </c>
      <c r="U2" s="1" t="s">
        <v>15</v>
      </c>
      <c r="V2" s="1" t="s">
        <v>12</v>
      </c>
      <c r="W2" s="1" t="s">
        <v>13</v>
      </c>
      <c r="X2" s="1" t="s">
        <v>14</v>
      </c>
      <c r="Y2" s="1" t="s">
        <v>15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12</v>
      </c>
      <c r="AE2" s="1" t="s">
        <v>13</v>
      </c>
      <c r="AF2" s="1" t="s">
        <v>14</v>
      </c>
      <c r="AG2" s="1" t="s">
        <v>15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12</v>
      </c>
      <c r="AM2" s="1" t="s">
        <v>13</v>
      </c>
      <c r="AN2" s="1" t="s">
        <v>14</v>
      </c>
      <c r="AO2" s="1" t="s">
        <v>15</v>
      </c>
    </row>
    <row r="4" spans="1:41" x14ac:dyDescent="0.15">
      <c r="A4" s="1" t="s">
        <v>16</v>
      </c>
      <c r="B4">
        <v>2030.4699652777781</v>
      </c>
      <c r="C4">
        <v>1453.8029513888889</v>
      </c>
      <c r="D4">
        <v>1302.0311293424479</v>
      </c>
      <c r="E4">
        <v>1399.0642261355249</v>
      </c>
      <c r="F4">
        <v>0.1211333996556604</v>
      </c>
      <c r="G4">
        <v>8.9156223354336525E-2</v>
      </c>
      <c r="H4">
        <v>8.6204439827483936E-2</v>
      </c>
      <c r="I4">
        <v>9.4603363614375269E-2</v>
      </c>
      <c r="J4">
        <v>0.85187828540802002</v>
      </c>
      <c r="K4">
        <v>0.91975939273834229</v>
      </c>
      <c r="L4">
        <v>0.92498462383030966</v>
      </c>
      <c r="M4">
        <v>0.90965498814343204</v>
      </c>
      <c r="N4">
        <v>11818489.6</v>
      </c>
      <c r="O4">
        <v>9288486.4000000004</v>
      </c>
      <c r="P4">
        <v>2723836.6278680181</v>
      </c>
      <c r="Q4">
        <v>1162139.428815681</v>
      </c>
      <c r="R4">
        <v>3727.5438919839248</v>
      </c>
      <c r="S4">
        <v>2743.5350432121941</v>
      </c>
      <c r="T4">
        <v>2652.7022976840808</v>
      </c>
      <c r="U4">
        <v>2911.1558584536601</v>
      </c>
      <c r="V4">
        <v>0.57899305555555558</v>
      </c>
      <c r="W4">
        <v>0.63680555555555562</v>
      </c>
      <c r="X4">
        <v>0.59843749999999996</v>
      </c>
      <c r="Y4">
        <v>0.73246527777777781</v>
      </c>
      <c r="Z4">
        <v>9.4796426594257355E-2</v>
      </c>
      <c r="AA4">
        <v>9.7505685873329639E-2</v>
      </c>
      <c r="AB4">
        <v>9.1022741386588335E-2</v>
      </c>
      <c r="AC4">
        <v>8.8021949745712896E-2</v>
      </c>
      <c r="AD4">
        <v>0.16395310177229491</v>
      </c>
      <c r="AE4">
        <v>9.7505685873329639E-2</v>
      </c>
      <c r="AF4">
        <v>0.1242562066955037</v>
      </c>
      <c r="AG4">
        <v>8.8021949745712896E-2</v>
      </c>
      <c r="AH4">
        <v>9312.4498291015625</v>
      </c>
      <c r="AI4">
        <v>6039.4735107421884</v>
      </c>
      <c r="AJ4">
        <v>5119.3460930784286</v>
      </c>
      <c r="AK4">
        <v>4988.108236436994</v>
      </c>
      <c r="AL4">
        <v>551.07701110839844</v>
      </c>
      <c r="AM4">
        <v>289.73142242431641</v>
      </c>
      <c r="AN4">
        <v>233.8337589907633</v>
      </c>
      <c r="AO4">
        <v>231.14061106439209</v>
      </c>
    </row>
    <row r="5" spans="1:41" x14ac:dyDescent="0.15">
      <c r="A5" s="1" t="s">
        <v>17</v>
      </c>
      <c r="B5">
        <v>3371.71875</v>
      </c>
      <c r="C5">
        <v>3479.6013888888888</v>
      </c>
      <c r="D5">
        <v>3817.9311544655161</v>
      </c>
      <c r="E5">
        <v>3664.1375201181859</v>
      </c>
      <c r="F5">
        <v>0.19856579892760939</v>
      </c>
      <c r="G5">
        <v>0.2097067867462884</v>
      </c>
      <c r="H5">
        <v>0.23261338569838089</v>
      </c>
      <c r="I5">
        <v>0.23863591679077811</v>
      </c>
      <c r="J5">
        <v>0.19383400678634641</v>
      </c>
      <c r="K5">
        <v>0.10083258152008059</v>
      </c>
      <c r="L5">
        <v>-0.1063308118706725</v>
      </c>
      <c r="M5">
        <v>-0.16435985028762581</v>
      </c>
      <c r="N5">
        <v>269692177.06666672</v>
      </c>
      <c r="O5">
        <v>292899498.66666669</v>
      </c>
      <c r="P5">
        <v>311001455.70517558</v>
      </c>
      <c r="Q5">
        <v>324320901.21965629</v>
      </c>
      <c r="R5">
        <v>6457.8082556442223</v>
      </c>
      <c r="S5">
        <v>6820.1385453506573</v>
      </c>
      <c r="T5">
        <v>7565.1125671975906</v>
      </c>
      <c r="U5">
        <v>7760.9788777998083</v>
      </c>
      <c r="V5">
        <v>0.53940972222222228</v>
      </c>
      <c r="W5">
        <v>0.55954861111111109</v>
      </c>
      <c r="X5">
        <v>0.36875000000000002</v>
      </c>
      <c r="Y5">
        <v>0.5005208333333333</v>
      </c>
      <c r="Z5">
        <v>0.1193045387044549</v>
      </c>
      <c r="AA5">
        <v>0.12171464506536719</v>
      </c>
      <c r="AB5">
        <v>9.6443665545193263E-2</v>
      </c>
      <c r="AC5">
        <v>0.1013648211788153</v>
      </c>
      <c r="AD5">
        <v>0.30738964297590687</v>
      </c>
      <c r="AE5">
        <v>0.28667554037886872</v>
      </c>
      <c r="AF5">
        <v>1.227613468510002</v>
      </c>
      <c r="AG5">
        <v>0.33259143742508013</v>
      </c>
      <c r="AH5">
        <v>16158.61889648438</v>
      </c>
      <c r="AI5">
        <v>17442.7392578125</v>
      </c>
      <c r="AJ5">
        <v>19120.739837801491</v>
      </c>
      <c r="AK5">
        <v>17804.220330184329</v>
      </c>
      <c r="AL5">
        <v>901.51067352294922</v>
      </c>
      <c r="AM5">
        <v>945.26326751708984</v>
      </c>
      <c r="AN5">
        <v>1126.319377835486</v>
      </c>
      <c r="AO5">
        <v>1037.1329525577639</v>
      </c>
    </row>
    <row r="6" spans="1:41" x14ac:dyDescent="0.15">
      <c r="A6" s="1" t="s">
        <v>18</v>
      </c>
      <c r="B6">
        <v>819.4432291666667</v>
      </c>
      <c r="C6">
        <v>699.20707465277781</v>
      </c>
      <c r="D6">
        <v>545.69545047641327</v>
      </c>
      <c r="E6">
        <v>489.84649861124677</v>
      </c>
      <c r="F6">
        <v>0.13577023059807131</v>
      </c>
      <c r="G6">
        <v>0.1164273351355371</v>
      </c>
      <c r="H6">
        <v>0.10861535212001459</v>
      </c>
      <c r="I6">
        <v>9.9396761869297703E-2</v>
      </c>
      <c r="J6">
        <v>0.82030820846557617</v>
      </c>
      <c r="K6">
        <v>0.86786162853240967</v>
      </c>
      <c r="L6">
        <v>0.88499903867799179</v>
      </c>
      <c r="M6">
        <v>0.90369174493076254</v>
      </c>
      <c r="N6">
        <v>5510567.111111111</v>
      </c>
      <c r="O6">
        <v>7189976.1777777774</v>
      </c>
      <c r="P6">
        <v>1572053.525809363</v>
      </c>
      <c r="Q6">
        <v>276442.22895434807</v>
      </c>
      <c r="R6">
        <v>1488.811367799457</v>
      </c>
      <c r="S6">
        <v>1276.703672222598</v>
      </c>
      <c r="T6">
        <v>1191.039977943459</v>
      </c>
      <c r="U6">
        <v>1089.9519704511879</v>
      </c>
      <c r="V6">
        <v>0.56597222222222221</v>
      </c>
      <c r="W6">
        <v>0.5522569444444444</v>
      </c>
      <c r="X6">
        <v>0.62864583333333335</v>
      </c>
      <c r="Y6">
        <v>0.64253472222222219</v>
      </c>
      <c r="Z6">
        <v>0.1015320103615522</v>
      </c>
      <c r="AA6">
        <v>9.4596925191581249E-2</v>
      </c>
      <c r="AB6">
        <v>8.5268724974511961E-2</v>
      </c>
      <c r="AC6">
        <v>7.1083672806569867E-2</v>
      </c>
      <c r="AD6">
        <v>0.19546737871237871</v>
      </c>
      <c r="AE6">
        <v>0.18559057187766309</v>
      </c>
      <c r="AF6">
        <v>0.114762643387716</v>
      </c>
      <c r="AG6">
        <v>0.1013041309581031</v>
      </c>
      <c r="AH6">
        <v>3826.842529296875</v>
      </c>
      <c r="AI6">
        <v>3219.9909362792969</v>
      </c>
      <c r="AJ6">
        <v>2315.05074669735</v>
      </c>
      <c r="AK6">
        <v>2208.587082607607</v>
      </c>
      <c r="AL6">
        <v>229.74534606933591</v>
      </c>
      <c r="AM6">
        <v>186.0472602844238</v>
      </c>
      <c r="AN6">
        <v>125.0488130659146</v>
      </c>
      <c r="AO6">
        <v>125.6462210945197</v>
      </c>
    </row>
    <row r="7" spans="1:41" x14ac:dyDescent="0.15">
      <c r="A7" s="1" t="s">
        <v>19</v>
      </c>
      <c r="B7">
        <v>1526.2564236111109</v>
      </c>
      <c r="C7">
        <v>1281.699913194444</v>
      </c>
      <c r="D7">
        <v>1156.505648247341</v>
      </c>
      <c r="E7">
        <v>1110.294053790961</v>
      </c>
      <c r="F7">
        <v>0.1238953827630285</v>
      </c>
      <c r="G7">
        <v>0.1075749514788443</v>
      </c>
      <c r="H7">
        <v>0.1044933173897425</v>
      </c>
      <c r="I7">
        <v>0.10401296084980829</v>
      </c>
      <c r="J7">
        <v>0.84702765941619873</v>
      </c>
      <c r="K7">
        <v>0.8846745491027832</v>
      </c>
      <c r="L7">
        <v>0.89118727242450457</v>
      </c>
      <c r="M7">
        <v>0.89218539874210512</v>
      </c>
      <c r="N7">
        <v>6295396.9777777782</v>
      </c>
      <c r="O7">
        <v>8637006.222222222</v>
      </c>
      <c r="P7">
        <v>2823124.9030284379</v>
      </c>
      <c r="Q7">
        <v>909564.35491033632</v>
      </c>
      <c r="R7">
        <v>2800.4197780570921</v>
      </c>
      <c r="S7">
        <v>2431.527439468633</v>
      </c>
      <c r="T7">
        <v>2361.8727873494399</v>
      </c>
      <c r="U7">
        <v>2351.0152409700449</v>
      </c>
      <c r="V7">
        <v>0.59652777777777777</v>
      </c>
      <c r="W7">
        <v>0.63697916666666665</v>
      </c>
      <c r="X7">
        <v>0.49079861111111112</v>
      </c>
      <c r="Y7">
        <v>0.64531249999999996</v>
      </c>
      <c r="Z7">
        <v>8.5215863771736622E-2</v>
      </c>
      <c r="AA7">
        <v>0.11246963404119011</v>
      </c>
      <c r="AB7">
        <v>9.6701420194407139E-2</v>
      </c>
      <c r="AC7">
        <v>9.4070337447334063E-2</v>
      </c>
      <c r="AD7">
        <v>0.13251944560560239</v>
      </c>
      <c r="AE7">
        <v>0.1424972253227258</v>
      </c>
      <c r="AF7">
        <v>0.29456974982550471</v>
      </c>
      <c r="AG7">
        <v>9.4070337447334063E-2</v>
      </c>
      <c r="AH7">
        <v>6617.42333984375</v>
      </c>
      <c r="AI7">
        <v>5704.8958740234384</v>
      </c>
      <c r="AJ7">
        <v>4322.6872061464601</v>
      </c>
      <c r="AK7">
        <v>4321.7628663708156</v>
      </c>
      <c r="AL7">
        <v>409.96868133544922</v>
      </c>
      <c r="AM7">
        <v>286.83295440673828</v>
      </c>
      <c r="AN7">
        <v>213.41888170180599</v>
      </c>
      <c r="AO7">
        <v>212.97437155879041</v>
      </c>
    </row>
    <row r="8" spans="1:41" x14ac:dyDescent="0.15">
      <c r="A8" s="1" t="s">
        <v>20</v>
      </c>
      <c r="B8">
        <v>975.30972222222226</v>
      </c>
      <c r="C8">
        <v>1033.2696180555561</v>
      </c>
      <c r="D8">
        <v>957.16411110483523</v>
      </c>
      <c r="E8">
        <v>963.81220933561406</v>
      </c>
      <c r="F8">
        <v>0.12521242167090671</v>
      </c>
      <c r="G8">
        <v>0.1263845546254169</v>
      </c>
      <c r="H8">
        <v>0.1207916726971982</v>
      </c>
      <c r="I8">
        <v>0.1246583050256215</v>
      </c>
      <c r="J8">
        <v>0.82594436407089233</v>
      </c>
      <c r="K8">
        <v>0.8226703405380249</v>
      </c>
      <c r="L8">
        <v>0.83801779735411497</v>
      </c>
      <c r="M8">
        <v>0.82748147172224151</v>
      </c>
      <c r="N8">
        <v>5020385.4222222222</v>
      </c>
      <c r="O8">
        <v>5224217.5999999996</v>
      </c>
      <c r="P8">
        <v>1687249.9737326871</v>
      </c>
      <c r="Q8">
        <v>1805612.916669338</v>
      </c>
      <c r="R8">
        <v>1981.8459632933691</v>
      </c>
      <c r="S8">
        <v>2000.398360327262</v>
      </c>
      <c r="T8">
        <v>1911.874892533802</v>
      </c>
      <c r="U8">
        <v>1973.0754463658841</v>
      </c>
      <c r="V8">
        <v>0.62065972222222221</v>
      </c>
      <c r="W8">
        <v>0.68958333333333333</v>
      </c>
      <c r="X8">
        <v>0.51892361111111107</v>
      </c>
      <c r="Y8">
        <v>0.57378472222222221</v>
      </c>
      <c r="Z8">
        <v>0.1010357234627008</v>
      </c>
      <c r="AA8">
        <v>0.12834732607007029</v>
      </c>
      <c r="AB8">
        <v>0.1157878797832714</v>
      </c>
      <c r="AC8">
        <v>0.11633325552857959</v>
      </c>
      <c r="AD8">
        <v>0.12925482358834839</v>
      </c>
      <c r="AE8">
        <v>0.16195543480853411</v>
      </c>
      <c r="AF8">
        <v>0.24621150074321549</v>
      </c>
      <c r="AG8">
        <v>0.1495908071532204</v>
      </c>
      <c r="AH8">
        <v>4253.811767578125</v>
      </c>
      <c r="AI8">
        <v>4557.9271850585938</v>
      </c>
      <c r="AJ8">
        <v>3868.361839224769</v>
      </c>
      <c r="AK8">
        <v>3755.9579188879488</v>
      </c>
      <c r="AL8">
        <v>232.42147064208979</v>
      </c>
      <c r="AM8">
        <v>232.84186172485349</v>
      </c>
      <c r="AN8">
        <v>199.20030699979571</v>
      </c>
      <c r="AO8">
        <v>192.67057118498781</v>
      </c>
    </row>
    <row r="9" spans="1:41" x14ac:dyDescent="0.15">
      <c r="A9" s="1" t="s">
        <v>21</v>
      </c>
      <c r="B9">
        <v>780.43203125000002</v>
      </c>
      <c r="C9">
        <v>920.20781250000005</v>
      </c>
      <c r="D9">
        <v>732.66864906995988</v>
      </c>
      <c r="E9">
        <v>709.07020621907554</v>
      </c>
      <c r="F9">
        <v>8.7192921266234708E-2</v>
      </c>
      <c r="G9">
        <v>0.1076887859108067</v>
      </c>
      <c r="H9">
        <v>9.9241380444017008E-2</v>
      </c>
      <c r="I9">
        <v>9.4243399564619135E-2</v>
      </c>
      <c r="J9">
        <v>0.90482443571090698</v>
      </c>
      <c r="K9">
        <v>0.85482096672058105</v>
      </c>
      <c r="L9">
        <v>0.87670412282195798</v>
      </c>
      <c r="M9">
        <v>0.88881022568580548</v>
      </c>
      <c r="N9">
        <v>11215751.11111111</v>
      </c>
      <c r="O9">
        <v>12728160.71111111</v>
      </c>
      <c r="P9">
        <v>2792372.7548753261</v>
      </c>
      <c r="Q9">
        <v>1448154.691290973</v>
      </c>
      <c r="R9">
        <v>1315.511087837051</v>
      </c>
      <c r="S9">
        <v>1624.739678293794</v>
      </c>
      <c r="T9">
        <v>1497.290542821363</v>
      </c>
      <c r="U9">
        <v>1421.8842005229919</v>
      </c>
      <c r="V9">
        <v>0.69010416666666663</v>
      </c>
      <c r="W9">
        <v>0.6592013888888888</v>
      </c>
      <c r="X9">
        <v>0.69374999999999998</v>
      </c>
      <c r="Y9">
        <v>0.63923611111111112</v>
      </c>
      <c r="Z9">
        <v>0.12961727567017081</v>
      </c>
      <c r="AA9">
        <v>0.1165229873731732</v>
      </c>
      <c r="AB9">
        <v>0.1056304960708595</v>
      </c>
      <c r="AC9">
        <v>0.11182315997838781</v>
      </c>
      <c r="AD9">
        <v>0.12961727567017081</v>
      </c>
      <c r="AE9">
        <v>0.15220894849051081</v>
      </c>
      <c r="AF9">
        <v>0.1056304960708595</v>
      </c>
      <c r="AG9">
        <v>0.1206749971936233</v>
      </c>
      <c r="AH9">
        <v>3335.5266723632808</v>
      </c>
      <c r="AI9">
        <v>4300.4154052734384</v>
      </c>
      <c r="AJ9">
        <v>3294.9234627846922</v>
      </c>
      <c r="AK9">
        <v>2636.9617028020998</v>
      </c>
      <c r="AL9">
        <v>138.21008682250979</v>
      </c>
      <c r="AM9">
        <v>221.04670715332031</v>
      </c>
      <c r="AN9">
        <v>163.4752748325738</v>
      </c>
      <c r="AO9">
        <v>117.4371159520535</v>
      </c>
    </row>
    <row r="10" spans="1:41" x14ac:dyDescent="0.15">
      <c r="A10" s="1" t="s">
        <v>22</v>
      </c>
      <c r="B10">
        <v>3185.8715277777778</v>
      </c>
      <c r="C10">
        <v>3214.7638888888891</v>
      </c>
      <c r="D10">
        <v>2480.1694278624132</v>
      </c>
      <c r="E10">
        <v>2389.2988448280171</v>
      </c>
      <c r="F10">
        <v>0.1714415296246671</v>
      </c>
      <c r="G10">
        <v>0.16065077569353151</v>
      </c>
      <c r="H10">
        <v>0.15310518192056749</v>
      </c>
      <c r="I10">
        <v>0.15262721944867921</v>
      </c>
      <c r="J10">
        <v>0.6673768162727356</v>
      </c>
      <c r="K10">
        <v>0.70793056488037109</v>
      </c>
      <c r="L10">
        <v>0.73472263148661066</v>
      </c>
      <c r="M10">
        <v>0.73637632752907756</v>
      </c>
      <c r="N10">
        <v>78608770.844444439</v>
      </c>
      <c r="O10">
        <v>71649297.066666663</v>
      </c>
      <c r="P10">
        <v>67483387.223159179</v>
      </c>
      <c r="Q10">
        <v>58031177.500706702</v>
      </c>
      <c r="R10">
        <v>6357.6948443074343</v>
      </c>
      <c r="S10">
        <v>5957.5331509312182</v>
      </c>
      <c r="T10">
        <v>5677.7140756995896</v>
      </c>
      <c r="U10">
        <v>5659.98943555185</v>
      </c>
      <c r="V10">
        <v>0.61597222222222214</v>
      </c>
      <c r="W10">
        <v>0.65954861111111107</v>
      </c>
      <c r="X10">
        <v>0.52847222222222223</v>
      </c>
      <c r="Y10">
        <v>0.71197916666666661</v>
      </c>
      <c r="Z10">
        <v>0.14256857521831989</v>
      </c>
      <c r="AA10">
        <v>0.15728675480932</v>
      </c>
      <c r="AB10">
        <v>0.12709121477604371</v>
      </c>
      <c r="AC10">
        <v>0.12552749694102469</v>
      </c>
      <c r="AD10">
        <v>0.1784171309417204</v>
      </c>
      <c r="AE10">
        <v>0.19474101694463081</v>
      </c>
      <c r="AF10">
        <v>0.23497187671825201</v>
      </c>
      <c r="AG10">
        <v>0.12552749694102469</v>
      </c>
      <c r="AH10">
        <v>13075.09545898438</v>
      </c>
      <c r="AI10">
        <v>12912.53466796875</v>
      </c>
      <c r="AJ10">
        <v>10476.031634170309</v>
      </c>
      <c r="AK10">
        <v>9149.1231713167927</v>
      </c>
      <c r="AL10">
        <v>690.47199630737305</v>
      </c>
      <c r="AM10">
        <v>664.11888885498047</v>
      </c>
      <c r="AN10">
        <v>597.9005718511487</v>
      </c>
      <c r="AO10">
        <v>469.09125380778681</v>
      </c>
    </row>
    <row r="11" spans="1:41" x14ac:dyDescent="0.15">
      <c r="A11" s="1" t="s">
        <v>23</v>
      </c>
      <c r="B11">
        <v>1653.2921875</v>
      </c>
      <c r="C11">
        <v>1697.036805555555</v>
      </c>
      <c r="D11">
        <v>1247.082785784263</v>
      </c>
      <c r="E11">
        <v>1206.0702444509709</v>
      </c>
      <c r="F11">
        <v>0.17311031743627031</v>
      </c>
      <c r="G11">
        <v>0.17965911960166439</v>
      </c>
      <c r="H11">
        <v>0.14985156644631481</v>
      </c>
      <c r="I11">
        <v>0.15146030071993041</v>
      </c>
      <c r="J11">
        <v>0.67069458961486816</v>
      </c>
      <c r="K11">
        <v>0.64530795812606812</v>
      </c>
      <c r="L11">
        <v>0.75323959425556342</v>
      </c>
      <c r="M11">
        <v>0.74791295294941307</v>
      </c>
      <c r="N11">
        <v>39160223.288888887</v>
      </c>
      <c r="O11">
        <v>39574277.688888893</v>
      </c>
      <c r="P11">
        <v>34407964.641067401</v>
      </c>
      <c r="Q11">
        <v>32886917.941606749</v>
      </c>
      <c r="R11">
        <v>3347.6558431900439</v>
      </c>
      <c r="S11">
        <v>3474.298471154525</v>
      </c>
      <c r="T11">
        <v>2897.8717451844759</v>
      </c>
      <c r="U11">
        <v>2928.981901104607</v>
      </c>
      <c r="V11">
        <v>0.57222222222222219</v>
      </c>
      <c r="W11">
        <v>0.4777777777777778</v>
      </c>
      <c r="X11">
        <v>0.50694444444444442</v>
      </c>
      <c r="Y11">
        <v>0.64878472222222228</v>
      </c>
      <c r="Z11">
        <v>0.1025229981169105</v>
      </c>
      <c r="AA11">
        <v>9.0829301625490189E-2</v>
      </c>
      <c r="AB11">
        <v>9.9725159899598431E-2</v>
      </c>
      <c r="AC11">
        <v>0.1000918541299735</v>
      </c>
      <c r="AD11">
        <v>0.18264699191469291</v>
      </c>
      <c r="AE11">
        <v>0.25447183902097242</v>
      </c>
      <c r="AF11">
        <v>0.23277990540256541</v>
      </c>
      <c r="AG11">
        <v>0.13489032676241561</v>
      </c>
      <c r="AH11">
        <v>8161.04541015625</v>
      </c>
      <c r="AI11">
        <v>8428.5576171875</v>
      </c>
      <c r="AJ11">
        <v>5686.7718978436869</v>
      </c>
      <c r="AK11">
        <v>5474.6425281959528</v>
      </c>
      <c r="AL11">
        <v>444.52067184448242</v>
      </c>
      <c r="AM11">
        <v>500.03466033935553</v>
      </c>
      <c r="AN11">
        <v>302.0393421800066</v>
      </c>
      <c r="AO11">
        <v>284.42526346583111</v>
      </c>
    </row>
    <row r="12" spans="1:41" x14ac:dyDescent="0.15">
      <c r="A12" s="1" t="s">
        <v>24</v>
      </c>
      <c r="B12">
        <v>3240.4826388888891</v>
      </c>
      <c r="C12">
        <v>3640.4913194444439</v>
      </c>
      <c r="D12">
        <v>2547.1455750306918</v>
      </c>
      <c r="E12">
        <v>2294.2486138723448</v>
      </c>
      <c r="F12">
        <v>0.11070616971955841</v>
      </c>
      <c r="G12">
        <v>0.14737437820017329</v>
      </c>
      <c r="H12">
        <v>0.111918965341316</v>
      </c>
      <c r="I12">
        <v>0.1003664143741512</v>
      </c>
      <c r="J12">
        <v>0.87393087148666382</v>
      </c>
      <c r="K12">
        <v>0.77658665180206299</v>
      </c>
      <c r="L12">
        <v>0.87115353724398126</v>
      </c>
      <c r="M12">
        <v>0.89638039191502428</v>
      </c>
      <c r="N12">
        <v>55247126.755555563</v>
      </c>
      <c r="O12">
        <v>20602723.55555556</v>
      </c>
      <c r="P12">
        <v>7105172.9187039668</v>
      </c>
      <c r="Q12">
        <v>1136459.0203017639</v>
      </c>
      <c r="R12">
        <v>5330.0304439405727</v>
      </c>
      <c r="S12">
        <v>7095.4483062500476</v>
      </c>
      <c r="T12">
        <v>5388.4214063920117</v>
      </c>
      <c r="U12">
        <v>4832.2152911901458</v>
      </c>
      <c r="V12">
        <v>0.66336805555555556</v>
      </c>
      <c r="W12">
        <v>0.59340277777777772</v>
      </c>
      <c r="X12">
        <v>0.64322916666666663</v>
      </c>
      <c r="Y12">
        <v>0.70781250000000007</v>
      </c>
      <c r="Z12">
        <v>0.16330454871058461</v>
      </c>
      <c r="AA12">
        <v>9.0813105925917625E-2</v>
      </c>
      <c r="AB12">
        <v>0.1158449088876215</v>
      </c>
      <c r="AC12">
        <v>0.1303034464988693</v>
      </c>
      <c r="AD12">
        <v>0.16330454871058461</v>
      </c>
      <c r="AE12">
        <v>0.16526239960499731</v>
      </c>
      <c r="AF12">
        <v>0.12724306387181261</v>
      </c>
      <c r="AG12">
        <v>0.1303034464988693</v>
      </c>
      <c r="AH12">
        <v>13205.58349609375</v>
      </c>
      <c r="AI12">
        <v>18654.401611328121</v>
      </c>
      <c r="AJ12">
        <v>10013.796628913689</v>
      </c>
      <c r="AK12">
        <v>8780.5551846990274</v>
      </c>
      <c r="AL12">
        <v>559.14731597900391</v>
      </c>
      <c r="AM12">
        <v>1151.247863769531</v>
      </c>
      <c r="AN12">
        <v>471.77782542505582</v>
      </c>
      <c r="AO12">
        <v>288.74122463879132</v>
      </c>
    </row>
    <row r="13" spans="1:41" x14ac:dyDescent="0.15">
      <c r="A13" s="1" t="s">
        <v>25</v>
      </c>
      <c r="B13">
        <v>2.3415215386284718</v>
      </c>
      <c r="C13">
        <v>2.8753814697265621</v>
      </c>
      <c r="D13">
        <v>2.0352514386267559</v>
      </c>
      <c r="E13">
        <v>2.2231048189462448</v>
      </c>
      <c r="F13">
        <v>0.1050960464928198</v>
      </c>
      <c r="G13">
        <v>0.1164704367061736</v>
      </c>
      <c r="H13">
        <v>0.10269927198553</v>
      </c>
      <c r="I13">
        <v>0.11264694201820021</v>
      </c>
      <c r="J13">
        <v>0.86243736743927002</v>
      </c>
      <c r="K13">
        <v>0.83104962110519409</v>
      </c>
      <c r="L13">
        <v>0.868640195448668</v>
      </c>
      <c r="M13">
        <v>0.84196016163690846</v>
      </c>
      <c r="N13">
        <v>9914.0666666666675</v>
      </c>
      <c r="O13">
        <v>16650.654166666671</v>
      </c>
      <c r="P13">
        <v>2615.6190559980291</v>
      </c>
      <c r="Q13">
        <v>947.27754856226591</v>
      </c>
      <c r="R13">
        <v>4.7693703975173998</v>
      </c>
      <c r="S13">
        <v>5.2855525701881181</v>
      </c>
      <c r="T13">
        <v>4.6606023374281191</v>
      </c>
      <c r="U13">
        <v>5.1120381977792873</v>
      </c>
      <c r="V13">
        <v>0.61996527777777777</v>
      </c>
      <c r="W13">
        <v>0.59166666666666667</v>
      </c>
      <c r="X13">
        <v>0.51805555555555549</v>
      </c>
      <c r="Y13">
        <v>0.6166666666666667</v>
      </c>
      <c r="Z13">
        <v>9.5638830214738846E-2</v>
      </c>
      <c r="AA13">
        <v>0.1009406065568328</v>
      </c>
      <c r="AB13">
        <v>6.3015820478528356E-2</v>
      </c>
      <c r="AC13">
        <v>6.3064453763647277E-2</v>
      </c>
      <c r="AD13">
        <v>0.1235667314099137</v>
      </c>
      <c r="AE13">
        <v>0.16134668264168289</v>
      </c>
      <c r="AF13">
        <v>0.13167278867482909</v>
      </c>
      <c r="AG13">
        <v>9.1273885886111045E-2</v>
      </c>
      <c r="AH13">
        <v>10.65556740760803</v>
      </c>
      <c r="AI13">
        <v>11.66844630241394</v>
      </c>
      <c r="AJ13">
        <v>8.3995390345254268</v>
      </c>
      <c r="AK13">
        <v>8.9166877011150802</v>
      </c>
      <c r="AL13">
        <v>0.49731060024350882</v>
      </c>
      <c r="AM13">
        <v>0.65611518919467926</v>
      </c>
      <c r="AN13">
        <v>0.54504823548191383</v>
      </c>
      <c r="AO13">
        <v>0.62651066923608456</v>
      </c>
    </row>
    <row r="14" spans="1:41" x14ac:dyDescent="0.15">
      <c r="A14" s="1" t="s">
        <v>26</v>
      </c>
      <c r="B14">
        <v>3.6878641764322921</v>
      </c>
      <c r="C14">
        <v>4.0082010904947918</v>
      </c>
      <c r="D14">
        <v>3.5021175399901918</v>
      </c>
      <c r="E14">
        <v>3.6818007155314132</v>
      </c>
      <c r="F14">
        <v>6.0743596538507798E-2</v>
      </c>
      <c r="G14">
        <v>7.2887819881393506E-2</v>
      </c>
      <c r="H14">
        <v>6.4662127851700252E-2</v>
      </c>
      <c r="I14">
        <v>6.8114006767963794E-2</v>
      </c>
      <c r="J14">
        <v>0.94911718368530273</v>
      </c>
      <c r="K14">
        <v>0.92673778533935547</v>
      </c>
      <c r="L14">
        <v>0.94234060751507598</v>
      </c>
      <c r="M14">
        <v>0.93602019167320694</v>
      </c>
      <c r="N14">
        <v>1.371167331271701</v>
      </c>
      <c r="O14">
        <v>0.50776562160915795</v>
      </c>
      <c r="P14">
        <v>0.45262197365255952</v>
      </c>
      <c r="Q14">
        <v>0.27513085773418972</v>
      </c>
      <c r="R14">
        <v>6.2362433238505721</v>
      </c>
      <c r="S14">
        <v>7.4830302085739673</v>
      </c>
      <c r="T14">
        <v>6.6385397483936011</v>
      </c>
      <c r="U14">
        <v>6.9929270250513209</v>
      </c>
      <c r="V14">
        <v>0.61302083333333335</v>
      </c>
      <c r="W14">
        <v>0.59722222222222221</v>
      </c>
      <c r="X14">
        <v>0.64878472222222217</v>
      </c>
      <c r="Y14">
        <v>0.61788194444444444</v>
      </c>
      <c r="Z14">
        <v>8.6481185629963875E-2</v>
      </c>
      <c r="AA14">
        <v>7.0300195831805468E-2</v>
      </c>
      <c r="AB14">
        <v>7.9617075232608081E-2</v>
      </c>
      <c r="AC14">
        <v>8.6691411049479E-2</v>
      </c>
      <c r="AD14">
        <v>9.2591782004574769E-2</v>
      </c>
      <c r="AE14">
        <v>0.1038612896096235</v>
      </c>
      <c r="AF14">
        <v>8.7036228212549638E-2</v>
      </c>
      <c r="AG14">
        <v>0.17788560189802571</v>
      </c>
      <c r="AH14">
        <v>14.63648962974548</v>
      </c>
      <c r="AI14">
        <v>16.77123498916626</v>
      </c>
      <c r="AJ14">
        <v>12.7587719445361</v>
      </c>
      <c r="AK14">
        <v>13.722582876458411</v>
      </c>
      <c r="AL14">
        <v>0.63088628649711609</v>
      </c>
      <c r="AM14">
        <v>0.8653174489736557</v>
      </c>
      <c r="AN14">
        <v>0.54236794210881345</v>
      </c>
      <c r="AO14">
        <v>0.60034317733796017</v>
      </c>
    </row>
    <row r="15" spans="1:41" x14ac:dyDescent="0.15">
      <c r="A15" s="1" t="s">
        <v>27</v>
      </c>
      <c r="B15">
        <v>4.0526482476128471</v>
      </c>
      <c r="C15">
        <v>4.240102132161458</v>
      </c>
      <c r="D15">
        <v>3.2050915627400078</v>
      </c>
      <c r="E15">
        <v>3.3154256661441588</v>
      </c>
      <c r="F15">
        <v>8.5272233097102884E-2</v>
      </c>
      <c r="G15">
        <v>8.7349498214212076E-2</v>
      </c>
      <c r="H15">
        <v>9.004605593143454E-2</v>
      </c>
      <c r="I15">
        <v>8.9430243272129784E-2</v>
      </c>
      <c r="J15">
        <v>0.90051752328872681</v>
      </c>
      <c r="K15">
        <v>0.89561164379119873</v>
      </c>
      <c r="L15">
        <v>0.88906704615393828</v>
      </c>
      <c r="M15">
        <v>0.89057916840827267</v>
      </c>
      <c r="N15">
        <v>95488.555555555562</v>
      </c>
      <c r="O15">
        <v>98097.377777777772</v>
      </c>
      <c r="P15">
        <v>109783.5410728456</v>
      </c>
      <c r="Q15">
        <v>110686.64187654181</v>
      </c>
      <c r="R15">
        <v>8.3836249379784675</v>
      </c>
      <c r="S15">
        <v>8.5878537221950548</v>
      </c>
      <c r="T15">
        <v>8.8529680349550084</v>
      </c>
      <c r="U15">
        <v>8.792423797542801</v>
      </c>
      <c r="V15">
        <v>0.59531250000000002</v>
      </c>
      <c r="W15">
        <v>0.66059027777777779</v>
      </c>
      <c r="X15">
        <v>0.68593749999999998</v>
      </c>
      <c r="Y15">
        <v>0.58003472222222219</v>
      </c>
      <c r="Z15">
        <v>8.953485731035471E-2</v>
      </c>
      <c r="AA15">
        <v>9.3046522699296474E-2</v>
      </c>
      <c r="AB15">
        <v>5.7153055484414773E-2</v>
      </c>
      <c r="AC15">
        <v>5.1596761185984261E-2</v>
      </c>
      <c r="AD15">
        <v>0.110816114164715</v>
      </c>
      <c r="AE15">
        <v>9.3046522699296474E-2</v>
      </c>
      <c r="AF15">
        <v>5.7153055484414773E-2</v>
      </c>
      <c r="AG15">
        <v>7.9186281904942785E-2</v>
      </c>
      <c r="AH15">
        <v>18.884582281112671</v>
      </c>
      <c r="AI15">
        <v>19.85153603553772</v>
      </c>
      <c r="AJ15">
        <v>16.479229028287861</v>
      </c>
      <c r="AK15">
        <v>18.064334253503599</v>
      </c>
      <c r="AL15">
        <v>0.79776986688375473</v>
      </c>
      <c r="AM15">
        <v>0.87896472960710526</v>
      </c>
      <c r="AN15">
        <v>0.74562166271083885</v>
      </c>
      <c r="AO15">
        <v>0.88482673286411506</v>
      </c>
    </row>
    <row r="16" spans="1:41" x14ac:dyDescent="0.15">
      <c r="A16" s="1" t="s">
        <v>28</v>
      </c>
      <c r="B16">
        <v>0.764890374077691</v>
      </c>
      <c r="C16">
        <v>0.65904998779296875</v>
      </c>
      <c r="D16">
        <v>0.61815482170383129</v>
      </c>
      <c r="E16">
        <v>0.60458618104788997</v>
      </c>
      <c r="F16">
        <v>4.8179216650185833E-2</v>
      </c>
      <c r="G16">
        <v>3.9677724589971611E-2</v>
      </c>
      <c r="H16">
        <v>4.2157134159143253E-2</v>
      </c>
      <c r="I16">
        <v>4.2610138464696787E-2</v>
      </c>
      <c r="J16">
        <v>0.95368015766143799</v>
      </c>
      <c r="K16">
        <v>0.96858471632003784</v>
      </c>
      <c r="L16">
        <v>0.96453580941017614</v>
      </c>
      <c r="M16">
        <v>0.96376954539269077</v>
      </c>
      <c r="N16">
        <v>3470.1065972222218</v>
      </c>
      <c r="O16">
        <v>5170.4125000000004</v>
      </c>
      <c r="P16">
        <v>3131.4216798398411</v>
      </c>
      <c r="Q16">
        <v>417.0940609775073</v>
      </c>
      <c r="R16">
        <v>1.388525024222752</v>
      </c>
      <c r="S16">
        <v>1.1435120159541441</v>
      </c>
      <c r="T16">
        <v>1.214968606466551</v>
      </c>
      <c r="U16">
        <v>1.2280241905526039</v>
      </c>
      <c r="V16">
        <v>0.61857638888888888</v>
      </c>
      <c r="W16">
        <v>0.5942708333333333</v>
      </c>
      <c r="X16">
        <v>0.61579861111111112</v>
      </c>
      <c r="Y16">
        <v>0.68038194444444444</v>
      </c>
      <c r="Z16">
        <v>5.0621256697922952E-2</v>
      </c>
      <c r="AA16">
        <v>5.1593652460724122E-2</v>
      </c>
      <c r="AB16">
        <v>4.6181535403303733E-2</v>
      </c>
      <c r="AC16">
        <v>4.949563172405945E-2</v>
      </c>
      <c r="AD16">
        <v>5.3528282461220093E-2</v>
      </c>
      <c r="AE16">
        <v>6.0498620888971233E-2</v>
      </c>
      <c r="AF16">
        <v>5.4177537021436128E-2</v>
      </c>
      <c r="AG16">
        <v>4.949563172405945E-2</v>
      </c>
      <c r="AH16">
        <v>2.8985453248023991</v>
      </c>
      <c r="AI16">
        <v>2.4858782291412349</v>
      </c>
      <c r="AJ16">
        <v>2.1948729221408492</v>
      </c>
      <c r="AK16">
        <v>2.2219321509539371</v>
      </c>
      <c r="AL16">
        <v>0.1397901251912117</v>
      </c>
      <c r="AM16">
        <v>0.1075880583375692</v>
      </c>
      <c r="AN16">
        <v>9.1484088912606246E-2</v>
      </c>
      <c r="AO16">
        <v>9.3508936009887175E-2</v>
      </c>
    </row>
    <row r="17" spans="1:41" x14ac:dyDescent="0.15">
      <c r="A17" s="1" t="s">
        <v>29</v>
      </c>
      <c r="B17">
        <v>6.5175672743055557</v>
      </c>
      <c r="C17">
        <v>6.2940945095486107</v>
      </c>
      <c r="D17">
        <v>3.1587098017796622</v>
      </c>
      <c r="E17">
        <v>2.1895941159521941</v>
      </c>
      <c r="F17">
        <v>6.4801054033441843E-2</v>
      </c>
      <c r="G17">
        <v>6.2831138378882531E-2</v>
      </c>
      <c r="H17">
        <v>3.916551208753314E-2</v>
      </c>
      <c r="I17">
        <v>3.3376662547046368E-2</v>
      </c>
      <c r="J17">
        <v>0.95331484079360962</v>
      </c>
      <c r="K17">
        <v>0.95611011981964111</v>
      </c>
      <c r="L17">
        <v>0.98294615692440723</v>
      </c>
      <c r="M17">
        <v>0.98761487313690444</v>
      </c>
      <c r="N17">
        <v>136183.97777777779</v>
      </c>
      <c r="O17">
        <v>112327.64444444441</v>
      </c>
      <c r="P17">
        <v>19507.171594825912</v>
      </c>
      <c r="Q17">
        <v>6671.4564100081498</v>
      </c>
      <c r="R17">
        <v>10.858472434514489</v>
      </c>
      <c r="S17">
        <v>10.52838116216512</v>
      </c>
      <c r="T17">
        <v>6.5628199261210254</v>
      </c>
      <c r="U17">
        <v>5.5928038306155052</v>
      </c>
      <c r="V17">
        <v>0.63177083333333339</v>
      </c>
      <c r="W17">
        <v>0.47552083333333328</v>
      </c>
      <c r="X17">
        <v>0.5942708333333333</v>
      </c>
      <c r="Y17">
        <v>0.63888888888888884</v>
      </c>
      <c r="Z17">
        <v>0.1115887006744742</v>
      </c>
      <c r="AA17">
        <v>8.7981026619672775E-2</v>
      </c>
      <c r="AB17">
        <v>3.3802553199662383E-2</v>
      </c>
      <c r="AC17">
        <v>2.7377335905653711E-2</v>
      </c>
      <c r="AD17">
        <v>0.1115887006744742</v>
      </c>
      <c r="AE17">
        <v>0.22864574151194589</v>
      </c>
      <c r="AF17">
        <v>5.5574378395136542E-2</v>
      </c>
      <c r="AG17">
        <v>3.6484072136075851E-2</v>
      </c>
      <c r="AH17">
        <v>27.192996501922611</v>
      </c>
      <c r="AI17">
        <v>23.635124206542969</v>
      </c>
      <c r="AJ17">
        <v>14.91387984782823</v>
      </c>
      <c r="AK17">
        <v>12.135241957471861</v>
      </c>
      <c r="AL17">
        <v>1.031311275437474</v>
      </c>
      <c r="AM17">
        <v>0.95513318106532097</v>
      </c>
      <c r="AN17">
        <v>0.86214592715443528</v>
      </c>
      <c r="AO17">
        <v>0.67747775870163252</v>
      </c>
    </row>
    <row r="18" spans="1:41" x14ac:dyDescent="0.15">
      <c r="A18" s="1" t="s">
        <v>30</v>
      </c>
      <c r="B18">
        <v>7.4535549587673611</v>
      </c>
      <c r="C18">
        <v>7.1509724934895837</v>
      </c>
      <c r="D18">
        <v>5.0557389142716298</v>
      </c>
      <c r="E18">
        <v>3.9458695607674268</v>
      </c>
      <c r="F18">
        <v>6.7284437668940114E-2</v>
      </c>
      <c r="G18">
        <v>7.0857103704352956E-2</v>
      </c>
      <c r="H18">
        <v>5.4032922018025668E-2</v>
      </c>
      <c r="I18">
        <v>4.8023902833839748E-2</v>
      </c>
      <c r="J18">
        <v>0.963367760181427</v>
      </c>
      <c r="K18">
        <v>0.95937424898147583</v>
      </c>
      <c r="L18">
        <v>0.97637611652051326</v>
      </c>
      <c r="M18">
        <v>0.98133838236058324</v>
      </c>
      <c r="N18">
        <v>143858.47777777779</v>
      </c>
      <c r="O18">
        <v>63932.566666666673</v>
      </c>
      <c r="P18">
        <v>36356.002052881609</v>
      </c>
      <c r="Q18">
        <v>22453.63172515246</v>
      </c>
      <c r="R18">
        <v>13.744269639259359</v>
      </c>
      <c r="S18">
        <v>14.47406234969222</v>
      </c>
      <c r="T18">
        <v>11.03736704724763</v>
      </c>
      <c r="U18">
        <v>9.8098977960439591</v>
      </c>
      <c r="V18">
        <v>0.74010416666666667</v>
      </c>
      <c r="W18">
        <v>0.71527777777777779</v>
      </c>
      <c r="X18">
        <v>0.59774305555555562</v>
      </c>
      <c r="Y18">
        <v>0.68732638888888886</v>
      </c>
      <c r="Z18">
        <v>0.12952433899044991</v>
      </c>
      <c r="AA18">
        <v>0.10121179558336731</v>
      </c>
      <c r="AB18">
        <v>6.3184590167099916E-2</v>
      </c>
      <c r="AC18">
        <v>4.3076829103106708E-2</v>
      </c>
      <c r="AD18">
        <v>0.12952433899044991</v>
      </c>
      <c r="AE18">
        <v>0.10121179558336731</v>
      </c>
      <c r="AF18">
        <v>0.13292731922136769</v>
      </c>
      <c r="AG18">
        <v>4.3076829103106708E-2</v>
      </c>
      <c r="AH18">
        <v>34.485072612762451</v>
      </c>
      <c r="AI18">
        <v>30.3735237121582</v>
      </c>
      <c r="AJ18">
        <v>24.272754051243851</v>
      </c>
      <c r="AK18">
        <v>18.41627822031904</v>
      </c>
      <c r="AL18">
        <v>0.93403498828411102</v>
      </c>
      <c r="AM18">
        <v>1.002253942191601</v>
      </c>
      <c r="AN18">
        <v>1.032095969703273</v>
      </c>
      <c r="AO18">
        <v>0.85321825091831205</v>
      </c>
    </row>
    <row r="19" spans="1:41" x14ac:dyDescent="0.15">
      <c r="A19" s="1" t="s">
        <v>31</v>
      </c>
      <c r="B19">
        <v>2.672181023491754</v>
      </c>
      <c r="C19">
        <v>2.6503648546006939</v>
      </c>
      <c r="D19">
        <v>2.474899594419897</v>
      </c>
      <c r="E19">
        <v>1.494369868078923</v>
      </c>
      <c r="F19">
        <v>6.997028812130146E-2</v>
      </c>
      <c r="G19">
        <v>6.749607073021846E-2</v>
      </c>
      <c r="H19">
        <v>6.3464369856757255E-2</v>
      </c>
      <c r="I19">
        <v>5.2700944183957918E-2</v>
      </c>
      <c r="J19">
        <v>0.94935888051986694</v>
      </c>
      <c r="K19">
        <v>0.9528769850730896</v>
      </c>
      <c r="L19">
        <v>0.95833841781651574</v>
      </c>
      <c r="M19">
        <v>0.97127152275946482</v>
      </c>
      <c r="N19">
        <v>27454.183333333331</v>
      </c>
      <c r="O19">
        <v>32391.055555555551</v>
      </c>
      <c r="P19">
        <v>18927.510003325118</v>
      </c>
      <c r="Q19">
        <v>5325.5717960985166</v>
      </c>
      <c r="R19">
        <v>5.8728918166377424</v>
      </c>
      <c r="S19">
        <v>5.665220786739031</v>
      </c>
      <c r="T19">
        <v>5.3268235045700143</v>
      </c>
      <c r="U19">
        <v>4.4234052717416104</v>
      </c>
      <c r="V19">
        <v>0.80798611111111107</v>
      </c>
      <c r="W19">
        <v>0.74913194444444442</v>
      </c>
      <c r="X19">
        <v>0.55972222222222223</v>
      </c>
      <c r="Y19">
        <v>0.64253472222222219</v>
      </c>
      <c r="Z19">
        <v>0.1184994960203767</v>
      </c>
      <c r="AA19">
        <v>0.11235717870295051</v>
      </c>
      <c r="AB19">
        <v>5.6986189429529037E-2</v>
      </c>
      <c r="AC19">
        <v>4.4184360699581267E-2</v>
      </c>
      <c r="AD19">
        <v>0.1184994960203767</v>
      </c>
      <c r="AE19">
        <v>0.11235717870295051</v>
      </c>
      <c r="AF19">
        <v>7.3082012045655051E-2</v>
      </c>
      <c r="AG19">
        <v>4.5747812837593979E-2</v>
      </c>
      <c r="AH19">
        <v>13.093949675559999</v>
      </c>
      <c r="AI19">
        <v>12.77265477180481</v>
      </c>
      <c r="AJ19">
        <v>10.673770590297339</v>
      </c>
      <c r="AK19">
        <v>8.2046465473538923</v>
      </c>
      <c r="AL19">
        <v>0.33489339333027601</v>
      </c>
      <c r="AM19">
        <v>0.34191344771534199</v>
      </c>
      <c r="AN19">
        <v>0.54647064565951675</v>
      </c>
      <c r="AO19">
        <v>0.38064367980459862</v>
      </c>
    </row>
    <row r="20" spans="1:41" x14ac:dyDescent="0.15">
      <c r="A20" s="1" t="s">
        <v>32</v>
      </c>
      <c r="B20">
        <v>47.295817057291657</v>
      </c>
      <c r="C20">
        <v>47.260677083333327</v>
      </c>
      <c r="D20">
        <v>36.792117976976733</v>
      </c>
      <c r="E20">
        <v>41.535493958906912</v>
      </c>
      <c r="F20">
        <v>0.13979783016376221</v>
      </c>
      <c r="G20">
        <v>0.1505368272001954</v>
      </c>
      <c r="H20">
        <v>0.1214132693656165</v>
      </c>
      <c r="I20">
        <v>0.12557804384225771</v>
      </c>
      <c r="J20">
        <v>0.77756905555725098</v>
      </c>
      <c r="K20">
        <v>0.74208307266235352</v>
      </c>
      <c r="L20">
        <v>0.832225248854916</v>
      </c>
      <c r="M20">
        <v>0.82051765995482628</v>
      </c>
      <c r="N20">
        <v>383926.48888888891</v>
      </c>
      <c r="O20">
        <v>329700.97777777782</v>
      </c>
      <c r="P20">
        <v>187330.38155928621</v>
      </c>
      <c r="Q20">
        <v>123622.93126924351</v>
      </c>
      <c r="R20">
        <v>84.350743426876008</v>
      </c>
      <c r="S20">
        <v>90.830405151579058</v>
      </c>
      <c r="T20">
        <v>73.257931486381537</v>
      </c>
      <c r="U20">
        <v>75.770859149561744</v>
      </c>
      <c r="V20">
        <v>0.62673611111111116</v>
      </c>
      <c r="W20">
        <v>0.60434027777777777</v>
      </c>
      <c r="X20">
        <v>0.58888888888888891</v>
      </c>
      <c r="Y20">
        <v>0.62465277777777772</v>
      </c>
      <c r="Z20">
        <v>0.1442941892892122</v>
      </c>
      <c r="AA20">
        <v>0.12287579104304309</v>
      </c>
      <c r="AB20">
        <v>0.1222949855956937</v>
      </c>
      <c r="AC20">
        <v>0.1871700073918218</v>
      </c>
      <c r="AD20">
        <v>0.18662117816052359</v>
      </c>
      <c r="AE20">
        <v>0.1833471240033778</v>
      </c>
      <c r="AF20">
        <v>0.22113825145604221</v>
      </c>
      <c r="AG20">
        <v>0.20460442611214161</v>
      </c>
      <c r="AH20">
        <v>189.08477401733401</v>
      </c>
      <c r="AI20">
        <v>212.80696487426761</v>
      </c>
      <c r="AJ20">
        <v>134.5377598147621</v>
      </c>
      <c r="AK20">
        <v>144.94631775289989</v>
      </c>
      <c r="AL20">
        <v>9.9758656024932861</v>
      </c>
      <c r="AM20">
        <v>12.17625570297241</v>
      </c>
      <c r="AN20">
        <v>6.0312272009708643</v>
      </c>
      <c r="AO20">
        <v>4.0865888932864536</v>
      </c>
    </row>
    <row r="21" spans="1:41" x14ac:dyDescent="0.15">
      <c r="A21" s="1" t="s">
        <v>33</v>
      </c>
      <c r="B21">
        <v>1.1079945882161459</v>
      </c>
      <c r="C21">
        <v>0.94832772148980038</v>
      </c>
      <c r="D21">
        <v>0.84552455099510437</v>
      </c>
      <c r="E21">
        <v>0.29536684584612782</v>
      </c>
      <c r="F21">
        <v>6.4300632035675986E-2</v>
      </c>
      <c r="G21">
        <v>5.8096113868450663E-2</v>
      </c>
      <c r="H21">
        <v>4.4773102212122703E-2</v>
      </c>
      <c r="I21">
        <v>2.0481602440935939E-2</v>
      </c>
      <c r="J21">
        <v>0.96351701021194458</v>
      </c>
      <c r="K21">
        <v>0.9702180027961731</v>
      </c>
      <c r="L21">
        <v>0.98231137605148988</v>
      </c>
      <c r="M21">
        <v>0.99629841659038521</v>
      </c>
      <c r="N21">
        <v>17868.93611111111</v>
      </c>
      <c r="O21">
        <v>9377.9465277777781</v>
      </c>
      <c r="P21">
        <v>10468.936118481201</v>
      </c>
      <c r="Q21">
        <v>2403.8079928990992</v>
      </c>
      <c r="R21">
        <v>2.129999480389217</v>
      </c>
      <c r="S21">
        <v>1.924470797371292</v>
      </c>
      <c r="T21">
        <v>1.4831375336803001</v>
      </c>
      <c r="U21">
        <v>0.67846612875185808</v>
      </c>
      <c r="V21">
        <v>0.70520833333333344</v>
      </c>
      <c r="W21">
        <v>0.65642361111111114</v>
      </c>
      <c r="X21">
        <v>0.39166666666666672</v>
      </c>
      <c r="Y21">
        <v>0.63680555555555562</v>
      </c>
      <c r="Z21">
        <v>9.9123104475438595E-2</v>
      </c>
      <c r="AA21">
        <v>9.1091020032763481E-2</v>
      </c>
      <c r="AB21">
        <v>4.9813933567052132E-2</v>
      </c>
      <c r="AC21">
        <v>2.8670427598639359E-2</v>
      </c>
      <c r="AD21">
        <v>9.9123104475438595E-2</v>
      </c>
      <c r="AE21">
        <v>9.1091020032763481E-2</v>
      </c>
      <c r="AF21">
        <v>0.37142528848518552</v>
      </c>
      <c r="AG21">
        <v>3.0968070304876541E-2</v>
      </c>
      <c r="AH21">
        <v>4.998645007610321</v>
      </c>
      <c r="AI21">
        <v>4.2529385685920724</v>
      </c>
      <c r="AJ21">
        <v>3.4895638491344969</v>
      </c>
      <c r="AK21">
        <v>1.489139391092327</v>
      </c>
      <c r="AL21">
        <v>0.17487294320017099</v>
      </c>
      <c r="AM21">
        <v>0.1371184412855655</v>
      </c>
      <c r="AN21">
        <v>0.18973728538992499</v>
      </c>
      <c r="AO21">
        <v>5.0535001738731197E-2</v>
      </c>
    </row>
    <row r="22" spans="1:41" x14ac:dyDescent="0.15">
      <c r="A22" s="1" t="s">
        <v>34</v>
      </c>
      <c r="B22">
        <v>0.60773548550075951</v>
      </c>
      <c r="C22">
        <v>0.50803281995985239</v>
      </c>
      <c r="D22">
        <v>0.36355268518673051</v>
      </c>
      <c r="E22">
        <v>0.19836165782503939</v>
      </c>
      <c r="F22">
        <v>6.6295034124792165E-2</v>
      </c>
      <c r="G22">
        <v>5.946907609019525E-2</v>
      </c>
      <c r="H22">
        <v>4.207080659705232E-2</v>
      </c>
      <c r="I22">
        <v>2.656073688602285E-2</v>
      </c>
      <c r="J22">
        <v>0.96152293682098389</v>
      </c>
      <c r="K22">
        <v>0.96903848648071289</v>
      </c>
      <c r="L22">
        <v>0.98450463486242701</v>
      </c>
      <c r="M22">
        <v>0.99382381385475094</v>
      </c>
      <c r="N22">
        <v>11693.923611111109</v>
      </c>
      <c r="O22">
        <v>6149.3951388888891</v>
      </c>
      <c r="P22">
        <v>3026.4556406811189</v>
      </c>
      <c r="Q22">
        <v>1548.5964271101079</v>
      </c>
      <c r="R22">
        <v>1.0682072164015319</v>
      </c>
      <c r="S22">
        <v>0.95822107514497745</v>
      </c>
      <c r="T22">
        <v>0.67788397427275815</v>
      </c>
      <c r="U22">
        <v>0.42797130210409928</v>
      </c>
      <c r="V22">
        <v>0.76475694444444442</v>
      </c>
      <c r="W22">
        <v>0.77847222222222223</v>
      </c>
      <c r="X22">
        <v>0.57239583333333333</v>
      </c>
      <c r="Y22">
        <v>0.57482638888888893</v>
      </c>
      <c r="Z22">
        <v>0.1355079170316458</v>
      </c>
      <c r="AA22">
        <v>0.1049146400764585</v>
      </c>
      <c r="AB22">
        <v>4.4853460716309128E-2</v>
      </c>
      <c r="AC22">
        <v>2.9137210864576841E-2</v>
      </c>
      <c r="AD22">
        <v>0.1355079170316458</v>
      </c>
      <c r="AE22">
        <v>0.1049146400764585</v>
      </c>
      <c r="AF22">
        <v>7.4367429391885925E-2</v>
      </c>
      <c r="AG22">
        <v>3.5105457643695999E-2</v>
      </c>
      <c r="AH22">
        <v>2.8078029453754429</v>
      </c>
      <c r="AI22">
        <v>2.1949558258056641</v>
      </c>
      <c r="AJ22">
        <v>1.526529388818465</v>
      </c>
      <c r="AK22">
        <v>0.94895503268788151</v>
      </c>
      <c r="AL22">
        <v>7.3085233976598829E-2</v>
      </c>
      <c r="AM22">
        <v>5.7621251326054328E-2</v>
      </c>
      <c r="AN22">
        <v>7.4677895081500634E-2</v>
      </c>
      <c r="AO22">
        <v>4.5423643326276852E-2</v>
      </c>
    </row>
    <row r="23" spans="1:41" x14ac:dyDescent="0.15">
      <c r="A23" s="1" t="s">
        <v>35</v>
      </c>
      <c r="B23">
        <v>2.5402713351779509</v>
      </c>
      <c r="C23">
        <v>2.5537614610460069</v>
      </c>
      <c r="D23">
        <v>3.1970167579873081</v>
      </c>
      <c r="E23">
        <v>1.9001413787631021</v>
      </c>
      <c r="F23">
        <v>6.3187731429919874E-2</v>
      </c>
      <c r="G23">
        <v>6.2421040214602513E-2</v>
      </c>
      <c r="H23">
        <v>8.0419741456066729E-2</v>
      </c>
      <c r="I23">
        <v>5.4089346655756369E-2</v>
      </c>
      <c r="J23">
        <v>0.96393686532974243</v>
      </c>
      <c r="K23">
        <v>0.96480673551559448</v>
      </c>
      <c r="L23">
        <v>0.94158515529754405</v>
      </c>
      <c r="M23">
        <v>0.9735746132210521</v>
      </c>
      <c r="N23">
        <v>24214.369444444441</v>
      </c>
      <c r="O23">
        <v>35421</v>
      </c>
      <c r="P23">
        <v>19730.592380722708</v>
      </c>
      <c r="Q23">
        <v>14163.349910874451</v>
      </c>
      <c r="R23">
        <v>4.7549922653083634</v>
      </c>
      <c r="S23">
        <v>4.6972970535591001</v>
      </c>
      <c r="T23">
        <v>6.0517321839597287</v>
      </c>
      <c r="U23">
        <v>4.0703219637284942</v>
      </c>
      <c r="V23">
        <v>0.7338541666666667</v>
      </c>
      <c r="W23">
        <v>0.77604166666666674</v>
      </c>
      <c r="X23">
        <v>0.57048611111111114</v>
      </c>
      <c r="Y23">
        <v>0.61215277777777777</v>
      </c>
      <c r="Z23">
        <v>9.9414315074682236E-2</v>
      </c>
      <c r="AA23">
        <v>0.12055947724729781</v>
      </c>
      <c r="AB23">
        <v>0.1205046608878156</v>
      </c>
      <c r="AC23">
        <v>8.6119461915535184E-2</v>
      </c>
      <c r="AD23">
        <v>9.9414315074682236E-2</v>
      </c>
      <c r="AE23">
        <v>0.12055947724729781</v>
      </c>
      <c r="AF23">
        <v>0.18181057746736071</v>
      </c>
      <c r="AG23">
        <v>0.1008493724409826</v>
      </c>
      <c r="AH23">
        <v>10.59533953666687</v>
      </c>
      <c r="AI23">
        <v>11.377347111701971</v>
      </c>
      <c r="AJ23">
        <v>13.154538083320039</v>
      </c>
      <c r="AK23">
        <v>8.977293199230715</v>
      </c>
      <c r="AL23">
        <v>0.34276391565799708</v>
      </c>
      <c r="AM23">
        <v>0.26450899499468511</v>
      </c>
      <c r="AN23">
        <v>0.49382067087772608</v>
      </c>
      <c r="AO23">
        <v>0.28674431191222172</v>
      </c>
    </row>
    <row r="24" spans="1:41" x14ac:dyDescent="0.15">
      <c r="A24" s="1" t="s">
        <v>36</v>
      </c>
      <c r="B24">
        <v>1.046072048611111</v>
      </c>
      <c r="C24">
        <v>0.95524020724826386</v>
      </c>
      <c r="D24">
        <v>0.68556305578870658</v>
      </c>
      <c r="E24">
        <v>0.32874798729252241</v>
      </c>
      <c r="F24">
        <v>6.6061973177713493E-2</v>
      </c>
      <c r="G24">
        <v>6.0486868331310117E-2</v>
      </c>
      <c r="H24">
        <v>4.6324718025333063E-2</v>
      </c>
      <c r="I24">
        <v>2.5846589390144541E-2</v>
      </c>
      <c r="J24">
        <v>0.96183532476425171</v>
      </c>
      <c r="K24">
        <v>0.96800512075424194</v>
      </c>
      <c r="L24">
        <v>0.98123346079973284</v>
      </c>
      <c r="M24">
        <v>0.99415795216960523</v>
      </c>
      <c r="N24">
        <v>14644.72777777778</v>
      </c>
      <c r="O24">
        <v>17325.031944444439</v>
      </c>
      <c r="P24">
        <v>4650.0470018212636</v>
      </c>
      <c r="Q24">
        <v>1688.695794826124</v>
      </c>
      <c r="R24">
        <v>1.8302640248949471</v>
      </c>
      <c r="S24">
        <v>1.6758042158812221</v>
      </c>
      <c r="T24">
        <v>1.2834382376049061</v>
      </c>
      <c r="U24">
        <v>0.71608641237371584</v>
      </c>
      <c r="V24">
        <v>0.72222222222222221</v>
      </c>
      <c r="W24">
        <v>0.6904513888888888</v>
      </c>
      <c r="X24">
        <v>0.60815972222222214</v>
      </c>
      <c r="Y24">
        <v>0.70520833333333333</v>
      </c>
      <c r="Z24">
        <v>0.12315782532095911</v>
      </c>
      <c r="AA24">
        <v>0.1135858949273825</v>
      </c>
      <c r="AB24">
        <v>4.6320694258651728E-2</v>
      </c>
      <c r="AC24">
        <v>3.0576563983690491E-2</v>
      </c>
      <c r="AD24">
        <v>0.12315782532095911</v>
      </c>
      <c r="AE24">
        <v>0.1135858949273825</v>
      </c>
      <c r="AF24">
        <v>5.2847658815252482E-2</v>
      </c>
      <c r="AG24">
        <v>3.0576563983690491E-2</v>
      </c>
      <c r="AH24">
        <v>4.4794586896896362</v>
      </c>
      <c r="AI24">
        <v>4.1026192307472229</v>
      </c>
      <c r="AJ24">
        <v>2.7026475787305859</v>
      </c>
      <c r="AK24">
        <v>1.523617550929188</v>
      </c>
      <c r="AL24">
        <v>0.13417921401560309</v>
      </c>
      <c r="AM24">
        <v>0.1196849008556455</v>
      </c>
      <c r="AN24">
        <v>0.1439360158780687</v>
      </c>
      <c r="AO24">
        <v>6.246830057334897E-2</v>
      </c>
    </row>
    <row r="25" spans="1:41" x14ac:dyDescent="0.15">
      <c r="A25" s="1" t="s">
        <v>37</v>
      </c>
      <c r="B25">
        <v>67.708474392361111</v>
      </c>
      <c r="C25">
        <v>69.830881076388891</v>
      </c>
      <c r="D25">
        <v>92.629637791315716</v>
      </c>
      <c r="E25">
        <v>93.836002783245505</v>
      </c>
      <c r="F25">
        <v>0.13166067381465399</v>
      </c>
      <c r="G25">
        <v>0.12807038158712819</v>
      </c>
      <c r="H25">
        <v>0.16962558887744739</v>
      </c>
      <c r="I25">
        <v>0.17215055413777999</v>
      </c>
      <c r="J25">
        <v>0.81601011753082275</v>
      </c>
      <c r="K25">
        <v>0.82590782642364502</v>
      </c>
      <c r="L25">
        <v>0.69460321890767385</v>
      </c>
      <c r="M25">
        <v>0.68544356909696558</v>
      </c>
      <c r="N25">
        <v>149198.73333333331</v>
      </c>
      <c r="O25">
        <v>85225.1</v>
      </c>
      <c r="P25">
        <v>149753.97788005881</v>
      </c>
      <c r="Q25">
        <v>204060.70843365649</v>
      </c>
      <c r="R25">
        <v>129.01430260935331</v>
      </c>
      <c r="S25">
        <v>125.49617081365029</v>
      </c>
      <c r="T25">
        <v>166.21611454101091</v>
      </c>
      <c r="U25">
        <v>168.69032799961079</v>
      </c>
      <c r="V25">
        <v>0.63802083333333337</v>
      </c>
      <c r="W25">
        <v>0.68038194444444444</v>
      </c>
      <c r="X25">
        <v>0.62621527777777775</v>
      </c>
      <c r="Y25">
        <v>0.63715277777777779</v>
      </c>
      <c r="Z25">
        <v>0.14745780825614929</v>
      </c>
      <c r="AA25">
        <v>0.14526878204196689</v>
      </c>
      <c r="AB25">
        <v>0.17396313413855799</v>
      </c>
      <c r="AC25">
        <v>0.21334736788480069</v>
      </c>
      <c r="AD25">
        <v>0.14745780825614929</v>
      </c>
      <c r="AE25">
        <v>0.18086998260241879</v>
      </c>
      <c r="AF25">
        <v>0.26438034144210298</v>
      </c>
      <c r="AG25">
        <v>0.22923827861526641</v>
      </c>
      <c r="AH25">
        <v>250.28851318359381</v>
      </c>
      <c r="AI25">
        <v>260.0114631652832</v>
      </c>
      <c r="AJ25">
        <v>391.76361604190998</v>
      </c>
      <c r="AK25">
        <v>352.53582337139778</v>
      </c>
      <c r="AL25">
        <v>12.34681141376495</v>
      </c>
      <c r="AM25">
        <v>12.81021684408188</v>
      </c>
      <c r="AN25">
        <v>20.661044393857321</v>
      </c>
      <c r="AO25">
        <v>15.097852579964529</v>
      </c>
    </row>
    <row r="26" spans="1:41" x14ac:dyDescent="0.15">
      <c r="A26" s="1" t="s">
        <v>38</v>
      </c>
      <c r="B26">
        <v>66.703125</v>
      </c>
      <c r="C26">
        <v>68.052289496527777</v>
      </c>
      <c r="D26">
        <v>84.529134531021114</v>
      </c>
      <c r="E26">
        <v>93.988498531977328</v>
      </c>
      <c r="F26">
        <v>0.1187260332764855</v>
      </c>
      <c r="G26">
        <v>0.1232781066921457</v>
      </c>
      <c r="H26">
        <v>0.15357808750055491</v>
      </c>
      <c r="I26">
        <v>0.16905558413098401</v>
      </c>
      <c r="J26">
        <v>0.86250418424606323</v>
      </c>
      <c r="K26">
        <v>0.85175859928131104</v>
      </c>
      <c r="L26">
        <v>0.76993202339348021</v>
      </c>
      <c r="M26">
        <v>0.7212231514760461</v>
      </c>
      <c r="N26">
        <v>240667.51111111109</v>
      </c>
      <c r="O26">
        <v>110098.3444444444</v>
      </c>
      <c r="P26">
        <v>287758.85231224331</v>
      </c>
      <c r="Q26">
        <v>286590.74669062148</v>
      </c>
      <c r="R26">
        <v>116.0457883768299</v>
      </c>
      <c r="S26">
        <v>120.4951013296576</v>
      </c>
      <c r="T26">
        <v>150.11106217522999</v>
      </c>
      <c r="U26">
        <v>165.2391543192272</v>
      </c>
      <c r="V26">
        <v>0.69270833333333326</v>
      </c>
      <c r="W26">
        <v>0.63003472222222223</v>
      </c>
      <c r="X26">
        <v>0.57378472222222221</v>
      </c>
      <c r="Y26">
        <v>0.578125</v>
      </c>
      <c r="Z26">
        <v>0.1707517160102725</v>
      </c>
      <c r="AA26">
        <v>0.14040160365402701</v>
      </c>
      <c r="AB26">
        <v>0.18290523017373569</v>
      </c>
      <c r="AC26">
        <v>0.19773384391398791</v>
      </c>
      <c r="AD26">
        <v>0.1707517160102725</v>
      </c>
      <c r="AE26">
        <v>0.19387622155355361</v>
      </c>
      <c r="AF26">
        <v>0.34120694051890771</v>
      </c>
      <c r="AG26">
        <v>0.25435966245423669</v>
      </c>
      <c r="AH26">
        <v>250.73385238647461</v>
      </c>
      <c r="AI26">
        <v>280.74332809448242</v>
      </c>
      <c r="AJ26">
        <v>352.64791327357921</v>
      </c>
      <c r="AK26">
        <v>348.96079939868719</v>
      </c>
      <c r="AL26">
        <v>9.9475022554397583</v>
      </c>
      <c r="AM26">
        <v>13.998885750770571</v>
      </c>
      <c r="AN26">
        <v>16.70159998191728</v>
      </c>
      <c r="AO26">
        <v>15.82792563030455</v>
      </c>
    </row>
    <row r="27" spans="1:41" x14ac:dyDescent="0.15">
      <c r="A27" s="1" t="s">
        <v>39</v>
      </c>
      <c r="B27">
        <v>75.906673177083334</v>
      </c>
      <c r="C27">
        <v>88.533615451388883</v>
      </c>
      <c r="D27">
        <v>93.071787345674295</v>
      </c>
      <c r="E27">
        <v>93.854517235226112</v>
      </c>
      <c r="F27">
        <v>0.132870353245337</v>
      </c>
      <c r="G27">
        <v>0.14838174898783521</v>
      </c>
      <c r="H27">
        <v>0.16632688673959201</v>
      </c>
      <c r="I27">
        <v>0.1691383863601392</v>
      </c>
      <c r="J27">
        <v>0.81606125831604004</v>
      </c>
      <c r="K27">
        <v>0.77060812711715698</v>
      </c>
      <c r="L27">
        <v>0.71176816146621968</v>
      </c>
      <c r="M27">
        <v>0.70194157605605811</v>
      </c>
      <c r="N27">
        <v>290469.77777777781</v>
      </c>
      <c r="O27">
        <v>329954.62222222221</v>
      </c>
      <c r="P27">
        <v>314777.97244661412</v>
      </c>
      <c r="Q27">
        <v>247573.05919550359</v>
      </c>
      <c r="R27">
        <v>131.76419910835671</v>
      </c>
      <c r="S27">
        <v>147.14646898017409</v>
      </c>
      <c r="T27">
        <v>164.94221540748509</v>
      </c>
      <c r="U27">
        <v>167.73030929369119</v>
      </c>
      <c r="V27">
        <v>0.63090277777777781</v>
      </c>
      <c r="W27">
        <v>0.58142361111111118</v>
      </c>
      <c r="X27">
        <v>0.55659722222222219</v>
      </c>
      <c r="Y27">
        <v>0.60781249999999998</v>
      </c>
      <c r="Z27">
        <v>0.1667229691520333</v>
      </c>
      <c r="AA27">
        <v>0.17027989774942401</v>
      </c>
      <c r="AB27">
        <v>0.18745881914903809</v>
      </c>
      <c r="AC27">
        <v>0.1934444226282673</v>
      </c>
      <c r="AD27">
        <v>0.1667229691520333</v>
      </c>
      <c r="AE27">
        <v>0.2815219314563131</v>
      </c>
      <c r="AF27">
        <v>0.35298471175262408</v>
      </c>
      <c r="AG27">
        <v>0.26119812458424918</v>
      </c>
      <c r="AH27">
        <v>271.92226791381842</v>
      </c>
      <c r="AI27">
        <v>349.17056274414063</v>
      </c>
      <c r="AJ27">
        <v>375.24606911506601</v>
      </c>
      <c r="AK27">
        <v>356.09795170197413</v>
      </c>
      <c r="AL27">
        <v>11.95880556106567</v>
      </c>
      <c r="AM27">
        <v>17.726726770401001</v>
      </c>
      <c r="AN27">
        <v>18.136786646604541</v>
      </c>
      <c r="AO27">
        <v>16.556253481096689</v>
      </c>
    </row>
    <row r="29" spans="1:41" x14ac:dyDescent="0.15">
      <c r="B29" s="3">
        <f>AVERAGE(B4:B27)</f>
        <v>744.73678609883348</v>
      </c>
      <c r="C29" s="3">
        <f t="shared" ref="C29:AO29" si="0">AVERAGE(C4:C27)</f>
        <v>738.60840685102676</v>
      </c>
      <c r="D29" s="3">
        <f t="shared" si="0"/>
        <v>629.93992623968177</v>
      </c>
      <c r="E29" s="3">
        <f t="shared" si="0"/>
        <v>607.05142911114547</v>
      </c>
      <c r="F29" s="3">
        <f t="shared" si="0"/>
        <v>0.10546980439719363</v>
      </c>
      <c r="G29" s="3">
        <f t="shared" si="0"/>
        <v>0.10637220274681945</v>
      </c>
      <c r="H29" s="3">
        <f t="shared" si="0"/>
        <v>0.1019831190228727</v>
      </c>
      <c r="I29" s="3">
        <f t="shared" si="0"/>
        <v>9.8742013591213165E-2</v>
      </c>
      <c r="J29" s="3">
        <f t="shared" si="0"/>
        <v>0.84627373764912284</v>
      </c>
      <c r="K29" s="3">
        <f t="shared" si="0"/>
        <v>0.83888398855924606</v>
      </c>
      <c r="L29" s="3">
        <f t="shared" si="0"/>
        <v>0.8395452264852975</v>
      </c>
      <c r="M29" s="3">
        <f t="shared" si="0"/>
        <v>0.83740284371324814</v>
      </c>
      <c r="N29" s="3">
        <f t="shared" si="0"/>
        <v>20171580.974362876</v>
      </c>
      <c r="O29" s="3">
        <f t="shared" si="0"/>
        <v>19543561.113575887</v>
      </c>
      <c r="P29" s="3">
        <f t="shared" si="0"/>
        <v>18031851.550285067</v>
      </c>
      <c r="Q29" s="3">
        <f t="shared" si="0"/>
        <v>17625230.13113229</v>
      </c>
      <c r="R29" s="3">
        <f t="shared" si="0"/>
        <v>1388.7305570889814</v>
      </c>
      <c r="S29" s="3">
        <f t="shared" si="0"/>
        <v>1415.4464258101436</v>
      </c>
      <c r="T29" s="3">
        <f t="shared" si="0"/>
        <v>1323.0090790646093</v>
      </c>
      <c r="U29" s="3">
        <f t="shared" si="0"/>
        <v>1314.7718016286897</v>
      </c>
      <c r="V29" s="3">
        <f t="shared" si="0"/>
        <v>0.64934895833333339</v>
      </c>
      <c r="W29" s="3">
        <f t="shared" si="0"/>
        <v>0.6352647569444444</v>
      </c>
      <c r="X29" s="3">
        <f t="shared" si="0"/>
        <v>0.57026909722222219</v>
      </c>
      <c r="Y29" s="3">
        <f t="shared" si="0"/>
        <v>0.63512008101851858</v>
      </c>
      <c r="Z29" s="3">
        <f t="shared" si="0"/>
        <v>0.11700901961497341</v>
      </c>
      <c r="AA29" s="3">
        <f t="shared" si="0"/>
        <v>0.10985393546676885</v>
      </c>
      <c r="AB29" s="3">
        <f t="shared" si="0"/>
        <v>9.4232164558337328E-2</v>
      </c>
      <c r="AC29" s="3">
        <f t="shared" si="0"/>
        <v>9.4596086827837433E-2</v>
      </c>
      <c r="AD29" s="3">
        <f t="shared" si="0"/>
        <v>0.14381010912913036</v>
      </c>
      <c r="AE29" s="3">
        <f t="shared" si="0"/>
        <v>0.15715178274415151</v>
      </c>
      <c r="AF29" s="3">
        <f t="shared" si="0"/>
        <v>0.21499264290042427</v>
      </c>
      <c r="AG29" s="3">
        <f t="shared" si="0"/>
        <v>0.12279270840643493</v>
      </c>
      <c r="AH29" s="3">
        <f t="shared" si="0"/>
        <v>3293.8814690423515</v>
      </c>
      <c r="AI29" s="3">
        <f t="shared" si="0"/>
        <v>3437.6314434806504</v>
      </c>
      <c r="AJ29" s="3">
        <f t="shared" si="0"/>
        <v>2732.6029500510435</v>
      </c>
      <c r="AK29" s="3">
        <f t="shared" si="0"/>
        <v>2517.3783592753189</v>
      </c>
      <c r="AL29" s="3">
        <f t="shared" si="0"/>
        <v>175.26638067946138</v>
      </c>
      <c r="AM29" s="3">
        <f t="shared" si="0"/>
        <v>189.13596629701593</v>
      </c>
      <c r="AN29" s="3">
        <f t="shared" si="0"/>
        <v>145.82550906020245</v>
      </c>
      <c r="AO29" s="3">
        <f t="shared" si="0"/>
        <v>125.64124609883298</v>
      </c>
    </row>
  </sheetData>
  <mergeCells count="10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丁玉军</cp:lastModifiedBy>
  <dcterms:created xsi:type="dcterms:W3CDTF">2026-04-16T08:37:08Z</dcterms:created>
  <dcterms:modified xsi:type="dcterms:W3CDTF">2026-04-16T08:47:21Z</dcterms:modified>
</cp:coreProperties>
</file>